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B2E7F7A2-6B76-4C84-8AB8-CBB3ABA4B360}" xr6:coauthVersionLast="47" xr6:coauthVersionMax="47" xr10:uidLastSave="{00000000-0000-0000-0000-000000000000}"/>
  <bookViews>
    <workbookView xWindow="-108" yWindow="-108" windowWidth="23256" windowHeight="12456" xr2:uid="{E5B98F44-9182-4633-8CE2-FA9DF65533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N31" i="1"/>
  <c r="N30" i="1"/>
  <c r="N29" i="1"/>
  <c r="N28" i="1"/>
  <c r="N2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" i="1"/>
  <c r="N4" i="1"/>
  <c r="N2" i="1"/>
</calcChain>
</file>

<file path=xl/sharedStrings.xml><?xml version="1.0" encoding="utf-8"?>
<sst xmlns="http://schemas.openxmlformats.org/spreadsheetml/2006/main" count="194" uniqueCount="108">
  <si>
    <t>nomeProduto</t>
  </si>
  <si>
    <t>valorCompra</t>
  </si>
  <si>
    <t>valorVenda</t>
  </si>
  <si>
    <t>Nintendo 64</t>
  </si>
  <si>
    <t>iPhone 15 Pro</t>
  </si>
  <si>
    <t>iPhone 14</t>
  </si>
  <si>
    <t>iPhone 13</t>
  </si>
  <si>
    <t>iPhone 11</t>
  </si>
  <si>
    <t>iPhone 12 mini</t>
  </si>
  <si>
    <t>iPhone 16 Pro</t>
  </si>
  <si>
    <t>iPhone 13 Pro Max</t>
  </si>
  <si>
    <t>Nintendo DSi XL</t>
  </si>
  <si>
    <t xml:space="preserve">Nintendo 3DS  </t>
  </si>
  <si>
    <t>Nintendo 3DS XL Yoshi</t>
  </si>
  <si>
    <t xml:space="preserve">Nintendo 3DS XL  </t>
  </si>
  <si>
    <t>Xbox Series S</t>
  </si>
  <si>
    <t>Controle Series S</t>
  </si>
  <si>
    <t>Nintendo Switch Lite</t>
  </si>
  <si>
    <t>SSD Externo Samsung 1TB</t>
  </si>
  <si>
    <t>Cinto de treino Growth</t>
  </si>
  <si>
    <t>Playstation 4</t>
  </si>
  <si>
    <t>iPhone 15 Pro 256gb</t>
  </si>
  <si>
    <t>iPhone 14 128gb</t>
  </si>
  <si>
    <t>nomeCliente</t>
  </si>
  <si>
    <t>Lucas Almeida</t>
  </si>
  <si>
    <t>Mariana Oliveira</t>
  </si>
  <si>
    <t>Gabriel Santos</t>
  </si>
  <si>
    <t>Beatriz Ferreira</t>
  </si>
  <si>
    <t>Rafael Costa</t>
  </si>
  <si>
    <t>Juliana Martins</t>
  </si>
  <si>
    <t>Matheus Rodrigues</t>
  </si>
  <si>
    <t>Camila Souza</t>
  </si>
  <si>
    <t>Felipe Pereira</t>
  </si>
  <si>
    <t>Larissa Gomes</t>
  </si>
  <si>
    <t>Bruno Carvalho</t>
  </si>
  <si>
    <t>Amanda Ribeiro</t>
  </si>
  <si>
    <t>Gustavo Lima</t>
  </si>
  <si>
    <t>Isabela Nunes</t>
  </si>
  <si>
    <t>Thiago Barbosa</t>
  </si>
  <si>
    <t>Ana Clara Mendes</t>
  </si>
  <si>
    <t>Vinícius Rocha</t>
  </si>
  <si>
    <t>Letícia Teixeira</t>
  </si>
  <si>
    <t>Diego Moreira</t>
  </si>
  <si>
    <t>Carolina Araújo</t>
  </si>
  <si>
    <t>Leonardo Freitas</t>
  </si>
  <si>
    <t>Manuela Castro</t>
  </si>
  <si>
    <t>Rodrigo Vieira</t>
  </si>
  <si>
    <t>Sofia Fernandes</t>
  </si>
  <si>
    <t>Eduardo Monteiro</t>
  </si>
  <si>
    <t>Patrícia Correia</t>
  </si>
  <si>
    <t>iPhone 14 Pro Max 128gb</t>
  </si>
  <si>
    <t>Felipi Santos</t>
  </si>
  <si>
    <t>(11) 98745-2316</t>
  </si>
  <si>
    <t>(11) 99632-8471</t>
  </si>
  <si>
    <t>(11) 98517-6342</t>
  </si>
  <si>
    <t>(11) 99184-5267</t>
  </si>
  <si>
    <t>(11) 97426-8135</t>
  </si>
  <si>
    <t>(11) 98831-4597</t>
  </si>
  <si>
    <t>(11) 99375-1628</t>
  </si>
  <si>
    <t>(11) 97648-3951</t>
  </si>
  <si>
    <t>(11) 98462-7513</t>
  </si>
  <si>
    <t>(11) 99713-6842</t>
  </si>
  <si>
    <t>(11) 97285-4169</t>
  </si>
  <si>
    <t>(11) 98654-2371</t>
  </si>
  <si>
    <t>(11) 99528-7436</t>
  </si>
  <si>
    <t>(11) 98137-6254</t>
  </si>
  <si>
    <t>(11) 96942-8517</t>
  </si>
  <si>
    <t>(11) 99261-4738</t>
  </si>
  <si>
    <t>(11) 97835-2164</t>
  </si>
  <si>
    <t>(11) 98974-5312</t>
  </si>
  <si>
    <t>(11) 97316-8425</t>
  </si>
  <si>
    <t>(11) 99457-3186</t>
  </si>
  <si>
    <t>(11) 98243-7691</t>
  </si>
  <si>
    <t>(11) 99816-2547</t>
  </si>
  <si>
    <t>(11) 97152-6384</t>
  </si>
  <si>
    <t>(11) 98763-4152</t>
  </si>
  <si>
    <t>(11) 99648-3725</t>
  </si>
  <si>
    <t>(11) 98325-7416</t>
  </si>
  <si>
    <t>(11) 97581-4632</t>
  </si>
  <si>
    <t>Thiago Nogueira</t>
  </si>
  <si>
    <t>(11) 97581-5432</t>
  </si>
  <si>
    <t>fornecedorProduto</t>
  </si>
  <si>
    <t>Miami Store</t>
  </si>
  <si>
    <t>Daniel Fornecedor</t>
  </si>
  <si>
    <t>Matheus Fornecedor</t>
  </si>
  <si>
    <t>Lucas Fornecedor</t>
  </si>
  <si>
    <t>iPhone 11 64gb</t>
  </si>
  <si>
    <t>Facebook Marketplace</t>
  </si>
  <si>
    <t>iPhone 11 128gb</t>
  </si>
  <si>
    <t>marcaProduto</t>
  </si>
  <si>
    <t>Nintendo</t>
  </si>
  <si>
    <t>Apple</t>
  </si>
  <si>
    <t>Microsoft</t>
  </si>
  <si>
    <t>Samsung</t>
  </si>
  <si>
    <t>Growth</t>
  </si>
  <si>
    <t>Sony</t>
  </si>
  <si>
    <t>telCliente</t>
  </si>
  <si>
    <t>telFornecedor</t>
  </si>
  <si>
    <t>dataCompra</t>
  </si>
  <si>
    <t>dataVenda</t>
  </si>
  <si>
    <t>tipoProduto</t>
  </si>
  <si>
    <t>videogame</t>
  </si>
  <si>
    <t>celular</t>
  </si>
  <si>
    <t>periférico</t>
  </si>
  <si>
    <t>acessório</t>
  </si>
  <si>
    <t>custos</t>
  </si>
  <si>
    <t>lucroLiquido</t>
  </si>
  <si>
    <t>lucroBruto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</si>
</sst>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left" vertical="center" wrapText="1" indent="1"/>
    </xf>
    <xf numFmtId="14" fontId="0" fillId="0" borderId="0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4BFB-6BC2-42A2-A6F5-8A93EDB61A3E}">
  <dimension ref="A1:N31"/>
  <sheetViews>
    <sheetView tabSelected="1" workbookViewId="0">
      <selection activeCell="G27" sqref="G27"/>
    </sheetView>
  </sheetViews>
  <sheetFormatPr defaultRowHeight="14.4" x14ac:dyDescent="0.3"/>
  <cols>
    <col min="1" max="1" width="24.88671875" customWidth="1"/>
    <col min="2" max="2" width="18.6640625" customWidth="1"/>
    <col min="3" max="3" width="26.33203125" customWidth="1"/>
    <col min="4" max="4" width="22.109375" customWidth="1"/>
    <col min="5" max="5" width="23.5546875" customWidth="1"/>
    <col min="6" max="6" width="17.77734375" customWidth="1"/>
    <col min="7" max="7" width="23.5546875" customWidth="1"/>
    <col min="8" max="8" width="16.33203125" customWidth="1"/>
    <col min="9" max="9" width="23.6640625" customWidth="1"/>
    <col min="10" max="10" width="21" customWidth="1"/>
    <col min="11" max="11" width="16.88671875" customWidth="1"/>
    <col min="12" max="12" width="14.109375" customWidth="1"/>
    <col min="13" max="13" width="14.21875" customWidth="1"/>
    <col min="14" max="14" width="17.5546875" customWidth="1"/>
  </cols>
  <sheetData>
    <row r="1" spans="1:14" x14ac:dyDescent="0.3">
      <c r="A1" t="s">
        <v>81</v>
      </c>
      <c r="B1" t="s">
        <v>97</v>
      </c>
      <c r="C1" t="s">
        <v>23</v>
      </c>
      <c r="D1" t="s">
        <v>96</v>
      </c>
      <c r="E1" s="1" t="s">
        <v>98</v>
      </c>
      <c r="F1" s="1" t="s">
        <v>99</v>
      </c>
      <c r="G1" t="s">
        <v>0</v>
      </c>
      <c r="H1" t="s">
        <v>89</v>
      </c>
      <c r="I1" t="s">
        <v>100</v>
      </c>
      <c r="J1" t="s">
        <v>1</v>
      </c>
      <c r="K1" t="s">
        <v>2</v>
      </c>
      <c r="L1" t="s">
        <v>105</v>
      </c>
      <c r="M1" t="s">
        <v>107</v>
      </c>
      <c r="N1" t="s">
        <v>106</v>
      </c>
    </row>
    <row r="2" spans="1:14" x14ac:dyDescent="0.3">
      <c r="A2" t="s">
        <v>82</v>
      </c>
      <c r="B2">
        <v>11991966881</v>
      </c>
      <c r="C2" t="s">
        <v>24</v>
      </c>
      <c r="D2" t="s">
        <v>52</v>
      </c>
      <c r="E2" s="2">
        <v>46024</v>
      </c>
      <c r="F2" s="2">
        <v>46027</v>
      </c>
      <c r="G2" t="s">
        <v>3</v>
      </c>
      <c r="H2" t="s">
        <v>90</v>
      </c>
      <c r="I2" t="s">
        <v>101</v>
      </c>
      <c r="J2">
        <v>300</v>
      </c>
      <c r="K2">
        <v>450</v>
      </c>
      <c r="L2">
        <v>22.74</v>
      </c>
      <c r="M2">
        <f>K2-J2</f>
        <v>150</v>
      </c>
      <c r="N2">
        <f>(K2-J2-L2)</f>
        <v>127.26</v>
      </c>
    </row>
    <row r="3" spans="1:14" x14ac:dyDescent="0.3">
      <c r="A3" t="s">
        <v>83</v>
      </c>
      <c r="B3">
        <v>11959063676</v>
      </c>
      <c r="C3" t="s">
        <v>25</v>
      </c>
      <c r="D3" t="s">
        <v>53</v>
      </c>
      <c r="E3" s="2">
        <v>46026</v>
      </c>
      <c r="F3" s="2">
        <v>46074</v>
      </c>
      <c r="G3" t="s">
        <v>4</v>
      </c>
      <c r="H3" t="s">
        <v>91</v>
      </c>
      <c r="I3" t="s">
        <v>102</v>
      </c>
      <c r="J3">
        <v>2600</v>
      </c>
      <c r="K3">
        <v>3200</v>
      </c>
      <c r="L3">
        <v>150</v>
      </c>
      <c r="M3">
        <f t="shared" ref="M3:M31" si="0">K3-J3</f>
        <v>600</v>
      </c>
      <c r="N3">
        <f>(K3-J3-L3)</f>
        <v>450</v>
      </c>
    </row>
    <row r="4" spans="1:14" x14ac:dyDescent="0.3">
      <c r="A4" t="s">
        <v>84</v>
      </c>
      <c r="B4">
        <v>11941222704</v>
      </c>
      <c r="C4" t="s">
        <v>26</v>
      </c>
      <c r="D4" t="s">
        <v>54</v>
      </c>
      <c r="E4" s="2">
        <v>46033</v>
      </c>
      <c r="F4" s="2">
        <v>46036</v>
      </c>
      <c r="G4" t="s">
        <v>5</v>
      </c>
      <c r="H4" t="s">
        <v>91</v>
      </c>
      <c r="I4" t="s">
        <v>102</v>
      </c>
      <c r="J4">
        <v>1700</v>
      </c>
      <c r="K4">
        <v>2200</v>
      </c>
      <c r="L4">
        <v>0</v>
      </c>
      <c r="M4">
        <f t="shared" si="0"/>
        <v>500</v>
      </c>
      <c r="N4">
        <f>(K4-J4-L4)</f>
        <v>500</v>
      </c>
    </row>
    <row r="5" spans="1:14" x14ac:dyDescent="0.3">
      <c r="A5" t="s">
        <v>85</v>
      </c>
      <c r="B5">
        <v>11915118717</v>
      </c>
      <c r="C5" t="s">
        <v>27</v>
      </c>
      <c r="D5" t="s">
        <v>55</v>
      </c>
      <c r="E5" s="2">
        <v>46040</v>
      </c>
      <c r="F5" s="2">
        <v>46083</v>
      </c>
      <c r="G5" t="s">
        <v>6</v>
      </c>
      <c r="H5" t="s">
        <v>91</v>
      </c>
      <c r="I5" t="s">
        <v>102</v>
      </c>
      <c r="J5">
        <v>1400</v>
      </c>
      <c r="K5">
        <v>1600</v>
      </c>
      <c r="L5">
        <v>20</v>
      </c>
      <c r="M5">
        <f t="shared" si="0"/>
        <v>200</v>
      </c>
      <c r="N5">
        <f>(K5-J5-L5)</f>
        <v>180</v>
      </c>
    </row>
    <row r="6" spans="1:14" x14ac:dyDescent="0.3">
      <c r="A6" t="s">
        <v>83</v>
      </c>
      <c r="B6">
        <v>11959063676</v>
      </c>
      <c r="C6" t="s">
        <v>28</v>
      </c>
      <c r="D6" t="s">
        <v>56</v>
      </c>
      <c r="E6" s="2">
        <v>46049</v>
      </c>
      <c r="F6" s="2">
        <v>46052</v>
      </c>
      <c r="G6" t="s">
        <v>7</v>
      </c>
      <c r="H6" t="s">
        <v>91</v>
      </c>
      <c r="I6" t="s">
        <v>102</v>
      </c>
      <c r="J6">
        <v>600</v>
      </c>
      <c r="K6">
        <v>800</v>
      </c>
      <c r="L6">
        <v>20</v>
      </c>
      <c r="M6">
        <f t="shared" si="0"/>
        <v>200</v>
      </c>
      <c r="N6">
        <f>(K6-J6-L6)</f>
        <v>180</v>
      </c>
    </row>
    <row r="7" spans="1:14" x14ac:dyDescent="0.3">
      <c r="A7" t="s">
        <v>82</v>
      </c>
      <c r="B7">
        <v>11991966881</v>
      </c>
      <c r="C7" t="s">
        <v>29</v>
      </c>
      <c r="D7" t="s">
        <v>57</v>
      </c>
      <c r="E7" s="2">
        <v>46056</v>
      </c>
      <c r="F7" s="2">
        <v>46072</v>
      </c>
      <c r="G7" t="s">
        <v>8</v>
      </c>
      <c r="H7" t="s">
        <v>91</v>
      </c>
      <c r="I7" t="s">
        <v>102</v>
      </c>
      <c r="J7">
        <v>950</v>
      </c>
      <c r="K7">
        <v>1100</v>
      </c>
      <c r="L7">
        <v>20</v>
      </c>
      <c r="M7">
        <f t="shared" si="0"/>
        <v>150</v>
      </c>
      <c r="N7">
        <f>(K7-J7-L7)</f>
        <v>130</v>
      </c>
    </row>
    <row r="8" spans="1:14" x14ac:dyDescent="0.3">
      <c r="A8" t="s">
        <v>85</v>
      </c>
      <c r="B8">
        <v>11915118717</v>
      </c>
      <c r="C8" t="s">
        <v>30</v>
      </c>
      <c r="D8" t="s">
        <v>58</v>
      </c>
      <c r="E8" s="2">
        <v>46061</v>
      </c>
      <c r="F8" s="2">
        <v>46123</v>
      </c>
      <c r="G8" t="s">
        <v>5</v>
      </c>
      <c r="H8" t="s">
        <v>91</v>
      </c>
      <c r="I8" t="s">
        <v>102</v>
      </c>
      <c r="J8">
        <v>2000</v>
      </c>
      <c r="K8">
        <v>2050</v>
      </c>
      <c r="L8">
        <v>0</v>
      </c>
      <c r="M8">
        <f t="shared" si="0"/>
        <v>50</v>
      </c>
      <c r="N8">
        <f>(K8-J8-L8)</f>
        <v>50</v>
      </c>
    </row>
    <row r="9" spans="1:14" x14ac:dyDescent="0.3">
      <c r="A9" t="s">
        <v>84</v>
      </c>
      <c r="B9">
        <v>11941222704</v>
      </c>
      <c r="C9" t="s">
        <v>31</v>
      </c>
      <c r="D9" t="s">
        <v>59</v>
      </c>
      <c r="E9" s="2">
        <v>46068</v>
      </c>
      <c r="F9" s="2">
        <v>46071</v>
      </c>
      <c r="G9" t="s">
        <v>4</v>
      </c>
      <c r="H9" t="s">
        <v>91</v>
      </c>
      <c r="I9" t="s">
        <v>102</v>
      </c>
      <c r="J9">
        <v>2600</v>
      </c>
      <c r="K9">
        <v>4000</v>
      </c>
      <c r="L9">
        <v>80</v>
      </c>
      <c r="M9">
        <f t="shared" si="0"/>
        <v>1400</v>
      </c>
      <c r="N9">
        <f>(K9-J9-L9)</f>
        <v>1320</v>
      </c>
    </row>
    <row r="10" spans="1:14" x14ac:dyDescent="0.3">
      <c r="A10" t="s">
        <v>82</v>
      </c>
      <c r="B10">
        <v>11991966881</v>
      </c>
      <c r="C10" t="s">
        <v>32</v>
      </c>
      <c r="D10" t="s">
        <v>60</v>
      </c>
      <c r="E10" s="2">
        <v>46075</v>
      </c>
      <c r="F10" s="2">
        <v>46076</v>
      </c>
      <c r="G10" t="s">
        <v>9</v>
      </c>
      <c r="H10" t="s">
        <v>91</v>
      </c>
      <c r="I10" t="s">
        <v>102</v>
      </c>
      <c r="J10">
        <v>3400</v>
      </c>
      <c r="K10">
        <v>3950</v>
      </c>
      <c r="L10">
        <v>20</v>
      </c>
      <c r="M10">
        <f t="shared" si="0"/>
        <v>550</v>
      </c>
      <c r="N10">
        <f>(K10-J10-L10)</f>
        <v>530</v>
      </c>
    </row>
    <row r="11" spans="1:14" x14ac:dyDescent="0.3">
      <c r="A11" t="s">
        <v>85</v>
      </c>
      <c r="B11">
        <v>11915118717</v>
      </c>
      <c r="C11" t="s">
        <v>33</v>
      </c>
      <c r="D11" t="s">
        <v>61</v>
      </c>
      <c r="E11" s="2">
        <v>46082</v>
      </c>
      <c r="F11" s="2">
        <v>46128</v>
      </c>
      <c r="G11" t="s">
        <v>10</v>
      </c>
      <c r="H11" t="s">
        <v>91</v>
      </c>
      <c r="I11" t="s">
        <v>102</v>
      </c>
      <c r="J11">
        <v>2050</v>
      </c>
      <c r="K11">
        <v>2300</v>
      </c>
      <c r="L11">
        <v>20</v>
      </c>
      <c r="M11">
        <f t="shared" si="0"/>
        <v>250</v>
      </c>
      <c r="N11">
        <f>(K11-J11-L11)</f>
        <v>230</v>
      </c>
    </row>
    <row r="12" spans="1:14" x14ac:dyDescent="0.3">
      <c r="A12" t="s">
        <v>83</v>
      </c>
      <c r="B12">
        <v>11959063676</v>
      </c>
      <c r="C12" t="s">
        <v>34</v>
      </c>
      <c r="D12" t="s">
        <v>62</v>
      </c>
      <c r="E12" s="2">
        <v>46086</v>
      </c>
      <c r="F12" s="2">
        <v>46090</v>
      </c>
      <c r="G12" t="s">
        <v>13</v>
      </c>
      <c r="H12" t="s">
        <v>90</v>
      </c>
      <c r="I12" t="s">
        <v>101</v>
      </c>
      <c r="J12">
        <v>1000</v>
      </c>
      <c r="K12">
        <v>1750</v>
      </c>
      <c r="L12">
        <v>120</v>
      </c>
      <c r="M12">
        <f t="shared" si="0"/>
        <v>750</v>
      </c>
      <c r="N12">
        <f>(K12-J12-L12)</f>
        <v>630</v>
      </c>
    </row>
    <row r="13" spans="1:14" x14ac:dyDescent="0.3">
      <c r="A13" t="s">
        <v>84</v>
      </c>
      <c r="B13">
        <v>11941222704</v>
      </c>
      <c r="C13" t="s">
        <v>35</v>
      </c>
      <c r="D13" t="s">
        <v>63</v>
      </c>
      <c r="E13" s="2">
        <v>46095</v>
      </c>
      <c r="F13" s="2">
        <v>46164</v>
      </c>
      <c r="G13" t="s">
        <v>11</v>
      </c>
      <c r="H13" t="s">
        <v>90</v>
      </c>
      <c r="I13" t="s">
        <v>101</v>
      </c>
      <c r="J13">
        <v>400</v>
      </c>
      <c r="K13">
        <v>600</v>
      </c>
      <c r="L13">
        <v>17.5</v>
      </c>
      <c r="M13">
        <f t="shared" si="0"/>
        <v>200</v>
      </c>
      <c r="N13">
        <f>(K13-J13-L13)</f>
        <v>182.5</v>
      </c>
    </row>
    <row r="14" spans="1:14" x14ac:dyDescent="0.3">
      <c r="A14" t="s">
        <v>85</v>
      </c>
      <c r="B14">
        <v>11915118717</v>
      </c>
      <c r="C14" t="s">
        <v>36</v>
      </c>
      <c r="D14" t="s">
        <v>64</v>
      </c>
      <c r="E14" s="2">
        <v>46102</v>
      </c>
      <c r="F14" s="2">
        <v>46107</v>
      </c>
      <c r="G14" t="s">
        <v>11</v>
      </c>
      <c r="H14" t="s">
        <v>90</v>
      </c>
      <c r="I14" t="s">
        <v>101</v>
      </c>
      <c r="J14">
        <v>500</v>
      </c>
      <c r="K14">
        <v>650</v>
      </c>
      <c r="L14">
        <v>17.5</v>
      </c>
      <c r="M14">
        <f t="shared" si="0"/>
        <v>150</v>
      </c>
      <c r="N14">
        <f>(K14-J14-L14)</f>
        <v>132.5</v>
      </c>
    </row>
    <row r="15" spans="1:14" x14ac:dyDescent="0.3">
      <c r="A15" t="s">
        <v>82</v>
      </c>
      <c r="B15">
        <v>11991966881</v>
      </c>
      <c r="C15" t="s">
        <v>37</v>
      </c>
      <c r="D15" t="s">
        <v>65</v>
      </c>
      <c r="E15" s="2">
        <v>46110</v>
      </c>
      <c r="F15" s="2">
        <v>46126</v>
      </c>
      <c r="G15" t="s">
        <v>12</v>
      </c>
      <c r="H15" t="s">
        <v>90</v>
      </c>
      <c r="I15" t="s">
        <v>101</v>
      </c>
      <c r="J15">
        <v>600</v>
      </c>
      <c r="K15">
        <v>900</v>
      </c>
      <c r="L15">
        <v>27.5</v>
      </c>
      <c r="M15">
        <f t="shared" si="0"/>
        <v>300</v>
      </c>
      <c r="N15">
        <f>(K15-J15-L15)</f>
        <v>272.5</v>
      </c>
    </row>
    <row r="16" spans="1:14" x14ac:dyDescent="0.3">
      <c r="A16" t="s">
        <v>83</v>
      </c>
      <c r="B16">
        <v>11959063676</v>
      </c>
      <c r="C16" t="s">
        <v>38</v>
      </c>
      <c r="D16" t="s">
        <v>66</v>
      </c>
      <c r="E16" s="2">
        <v>46119</v>
      </c>
      <c r="F16" s="2">
        <v>46122</v>
      </c>
      <c r="G16" t="s">
        <v>14</v>
      </c>
      <c r="H16" t="s">
        <v>90</v>
      </c>
      <c r="I16" t="s">
        <v>101</v>
      </c>
      <c r="J16">
        <v>1050</v>
      </c>
      <c r="K16">
        <v>1300</v>
      </c>
      <c r="L16">
        <v>20</v>
      </c>
      <c r="M16">
        <f t="shared" si="0"/>
        <v>250</v>
      </c>
      <c r="N16">
        <f>(K16-J16-L16)</f>
        <v>230</v>
      </c>
    </row>
    <row r="17" spans="1:14" x14ac:dyDescent="0.3">
      <c r="A17" t="s">
        <v>85</v>
      </c>
      <c r="B17">
        <v>11915118717</v>
      </c>
      <c r="C17" t="s">
        <v>39</v>
      </c>
      <c r="D17" t="s">
        <v>67</v>
      </c>
      <c r="E17" s="2">
        <v>46130</v>
      </c>
      <c r="F17" s="2">
        <v>46207</v>
      </c>
      <c r="G17" t="s">
        <v>15</v>
      </c>
      <c r="H17" t="s">
        <v>92</v>
      </c>
      <c r="I17" t="s">
        <v>101</v>
      </c>
      <c r="J17">
        <v>1400</v>
      </c>
      <c r="K17">
        <v>1550</v>
      </c>
      <c r="L17">
        <v>0</v>
      </c>
      <c r="M17">
        <f t="shared" si="0"/>
        <v>150</v>
      </c>
      <c r="N17">
        <f>(K17-J17-L17)</f>
        <v>150</v>
      </c>
    </row>
    <row r="18" spans="1:14" x14ac:dyDescent="0.3">
      <c r="A18" t="s">
        <v>84</v>
      </c>
      <c r="B18">
        <v>11941222704</v>
      </c>
      <c r="C18" t="s">
        <v>40</v>
      </c>
      <c r="D18" t="s">
        <v>68</v>
      </c>
      <c r="E18" s="2">
        <v>46137</v>
      </c>
      <c r="F18" s="2">
        <v>46139</v>
      </c>
      <c r="G18" t="s">
        <v>16</v>
      </c>
      <c r="H18" t="s">
        <v>92</v>
      </c>
      <c r="I18" t="s">
        <v>103</v>
      </c>
      <c r="J18">
        <v>0</v>
      </c>
      <c r="K18">
        <v>200</v>
      </c>
      <c r="L18">
        <v>0</v>
      </c>
      <c r="M18">
        <f t="shared" si="0"/>
        <v>200</v>
      </c>
      <c r="N18">
        <f>(K18-J18-L18)</f>
        <v>200</v>
      </c>
    </row>
    <row r="19" spans="1:14" x14ac:dyDescent="0.3">
      <c r="A19" t="s">
        <v>83</v>
      </c>
      <c r="B19">
        <v>11959063676</v>
      </c>
      <c r="C19" t="s">
        <v>41</v>
      </c>
      <c r="D19" t="s">
        <v>69</v>
      </c>
      <c r="E19" s="2">
        <v>46144</v>
      </c>
      <c r="F19" s="2">
        <v>46161</v>
      </c>
      <c r="G19" t="s">
        <v>16</v>
      </c>
      <c r="H19" t="s">
        <v>92</v>
      </c>
      <c r="I19" t="s">
        <v>103</v>
      </c>
      <c r="J19">
        <v>0</v>
      </c>
      <c r="K19">
        <v>220</v>
      </c>
      <c r="L19">
        <v>0</v>
      </c>
      <c r="M19">
        <f t="shared" si="0"/>
        <v>220</v>
      </c>
      <c r="N19">
        <f>(K19-J19-L19)</f>
        <v>220</v>
      </c>
    </row>
    <row r="20" spans="1:14" x14ac:dyDescent="0.3">
      <c r="A20" t="s">
        <v>82</v>
      </c>
      <c r="B20">
        <v>11991966881</v>
      </c>
      <c r="C20" t="s">
        <v>42</v>
      </c>
      <c r="D20" t="s">
        <v>70</v>
      </c>
      <c r="E20" s="2">
        <v>46153</v>
      </c>
      <c r="F20" s="2">
        <v>46154</v>
      </c>
      <c r="G20" t="s">
        <v>17</v>
      </c>
      <c r="H20" t="s">
        <v>90</v>
      </c>
      <c r="I20" t="s">
        <v>101</v>
      </c>
      <c r="J20">
        <v>700</v>
      </c>
      <c r="K20">
        <v>950</v>
      </c>
      <c r="L20">
        <v>20</v>
      </c>
      <c r="M20">
        <f t="shared" si="0"/>
        <v>250</v>
      </c>
      <c r="N20">
        <f>(K20-J20-L20)</f>
        <v>230</v>
      </c>
    </row>
    <row r="21" spans="1:14" x14ac:dyDescent="0.3">
      <c r="A21" t="s">
        <v>84</v>
      </c>
      <c r="B21">
        <v>11941222704</v>
      </c>
      <c r="C21" t="s">
        <v>43</v>
      </c>
      <c r="D21" t="s">
        <v>71</v>
      </c>
      <c r="E21" s="2">
        <v>46161</v>
      </c>
      <c r="F21" s="2">
        <v>46225</v>
      </c>
      <c r="G21" t="s">
        <v>15</v>
      </c>
      <c r="H21" t="s">
        <v>92</v>
      </c>
      <c r="I21" t="s">
        <v>101</v>
      </c>
      <c r="J21">
        <v>1100</v>
      </c>
      <c r="K21">
        <v>1550</v>
      </c>
      <c r="L21">
        <v>50</v>
      </c>
      <c r="M21">
        <f t="shared" si="0"/>
        <v>450</v>
      </c>
      <c r="N21">
        <f>(K21-J21-L21)</f>
        <v>400</v>
      </c>
    </row>
    <row r="22" spans="1:14" x14ac:dyDescent="0.3">
      <c r="A22" t="s">
        <v>85</v>
      </c>
      <c r="B22">
        <v>11915118717</v>
      </c>
      <c r="C22" t="s">
        <v>44</v>
      </c>
      <c r="D22" t="s">
        <v>72</v>
      </c>
      <c r="E22" s="2">
        <v>46170</v>
      </c>
      <c r="F22" s="2">
        <v>46179</v>
      </c>
      <c r="G22" t="s">
        <v>18</v>
      </c>
      <c r="H22" t="s">
        <v>93</v>
      </c>
      <c r="I22" t="s">
        <v>103</v>
      </c>
      <c r="J22">
        <v>0</v>
      </c>
      <c r="K22">
        <v>600</v>
      </c>
      <c r="L22">
        <v>27.9</v>
      </c>
      <c r="M22">
        <f t="shared" si="0"/>
        <v>600</v>
      </c>
      <c r="N22">
        <f>(K22-J22-L22)</f>
        <v>572.1</v>
      </c>
    </row>
    <row r="23" spans="1:14" x14ac:dyDescent="0.3">
      <c r="A23" t="s">
        <v>83</v>
      </c>
      <c r="B23">
        <v>11959063676</v>
      </c>
      <c r="C23" t="s">
        <v>45</v>
      </c>
      <c r="D23" t="s">
        <v>73</v>
      </c>
      <c r="E23" s="2">
        <v>46177</v>
      </c>
      <c r="F23" s="2">
        <v>46178</v>
      </c>
      <c r="G23" t="s">
        <v>5</v>
      </c>
      <c r="H23" t="s">
        <v>91</v>
      </c>
      <c r="I23" t="s">
        <v>102</v>
      </c>
      <c r="J23">
        <v>1750</v>
      </c>
      <c r="K23">
        <v>2000</v>
      </c>
      <c r="L23">
        <v>20</v>
      </c>
      <c r="M23">
        <f t="shared" si="0"/>
        <v>250</v>
      </c>
      <c r="N23">
        <f>(K23-J23-L23)</f>
        <v>230</v>
      </c>
    </row>
    <row r="24" spans="1:14" x14ac:dyDescent="0.3">
      <c r="A24" t="s">
        <v>82</v>
      </c>
      <c r="B24">
        <v>11991966881</v>
      </c>
      <c r="C24" t="s">
        <v>46</v>
      </c>
      <c r="D24" t="s">
        <v>74</v>
      </c>
      <c r="E24" s="2">
        <v>46186</v>
      </c>
      <c r="F24" s="2">
        <v>46252</v>
      </c>
      <c r="G24" t="s">
        <v>19</v>
      </c>
      <c r="H24" t="s">
        <v>94</v>
      </c>
      <c r="I24" t="s">
        <v>104</v>
      </c>
      <c r="J24">
        <v>0</v>
      </c>
      <c r="K24">
        <v>90</v>
      </c>
      <c r="L24">
        <v>0</v>
      </c>
      <c r="M24">
        <f t="shared" si="0"/>
        <v>90</v>
      </c>
      <c r="N24">
        <f>(K24-J24-L24)</f>
        <v>90</v>
      </c>
    </row>
    <row r="25" spans="1:14" x14ac:dyDescent="0.3">
      <c r="A25" t="s">
        <v>84</v>
      </c>
      <c r="B25">
        <v>11941222704</v>
      </c>
      <c r="C25" t="s">
        <v>47</v>
      </c>
      <c r="D25" t="s">
        <v>75</v>
      </c>
      <c r="E25" s="2">
        <v>46195</v>
      </c>
      <c r="F25" s="2">
        <v>46202</v>
      </c>
      <c r="G25" t="s">
        <v>20</v>
      </c>
      <c r="H25" t="s">
        <v>95</v>
      </c>
      <c r="I25" t="s">
        <v>101</v>
      </c>
      <c r="J25">
        <v>1400</v>
      </c>
      <c r="K25">
        <v>1600</v>
      </c>
      <c r="L25">
        <v>50</v>
      </c>
      <c r="M25">
        <f t="shared" si="0"/>
        <v>200</v>
      </c>
      <c r="N25">
        <f>(K25-J25-L25)</f>
        <v>150</v>
      </c>
    </row>
    <row r="26" spans="1:14" x14ac:dyDescent="0.3">
      <c r="A26" t="s">
        <v>83</v>
      </c>
      <c r="B26">
        <v>11959063676</v>
      </c>
      <c r="C26" t="s">
        <v>48</v>
      </c>
      <c r="D26" t="s">
        <v>76</v>
      </c>
      <c r="E26" s="2">
        <v>46204</v>
      </c>
      <c r="F26" s="2">
        <v>46218</v>
      </c>
      <c r="G26" t="s">
        <v>21</v>
      </c>
      <c r="H26" t="s">
        <v>91</v>
      </c>
      <c r="I26" t="s">
        <v>102</v>
      </c>
      <c r="J26">
        <v>3200</v>
      </c>
      <c r="K26">
        <v>3800</v>
      </c>
      <c r="L26">
        <v>20</v>
      </c>
      <c r="M26">
        <f t="shared" si="0"/>
        <v>600</v>
      </c>
      <c r="N26">
        <f>(K26-J26-L26)</f>
        <v>580</v>
      </c>
    </row>
    <row r="27" spans="1:14" x14ac:dyDescent="0.3">
      <c r="A27" t="s">
        <v>85</v>
      </c>
      <c r="B27">
        <v>11915118717</v>
      </c>
      <c r="C27" t="s">
        <v>49</v>
      </c>
      <c r="D27" t="s">
        <v>77</v>
      </c>
      <c r="E27" s="2">
        <v>46215</v>
      </c>
      <c r="F27" s="2">
        <v>46217</v>
      </c>
      <c r="G27" t="s">
        <v>22</v>
      </c>
      <c r="H27" t="s">
        <v>91</v>
      </c>
      <c r="I27" t="s">
        <v>102</v>
      </c>
      <c r="J27">
        <v>1400</v>
      </c>
      <c r="K27">
        <v>1750</v>
      </c>
      <c r="L27">
        <v>0</v>
      </c>
      <c r="M27">
        <f t="shared" si="0"/>
        <v>350</v>
      </c>
      <c r="N27">
        <f>(K27-J27-L27)</f>
        <v>350</v>
      </c>
    </row>
    <row r="28" spans="1:14" x14ac:dyDescent="0.3">
      <c r="A28" t="s">
        <v>82</v>
      </c>
      <c r="B28">
        <v>11991966881</v>
      </c>
      <c r="C28" t="s">
        <v>51</v>
      </c>
      <c r="D28" t="s">
        <v>78</v>
      </c>
      <c r="E28" s="2">
        <v>46229</v>
      </c>
      <c r="F28" s="2">
        <v>46255</v>
      </c>
      <c r="G28" t="s">
        <v>50</v>
      </c>
      <c r="H28" t="s">
        <v>91</v>
      </c>
      <c r="I28" t="s">
        <v>102</v>
      </c>
      <c r="J28">
        <v>2800</v>
      </c>
      <c r="K28">
        <v>3300</v>
      </c>
      <c r="L28">
        <v>0</v>
      </c>
      <c r="M28">
        <f t="shared" si="0"/>
        <v>500</v>
      </c>
      <c r="N28">
        <f>(K28-J28-L28)</f>
        <v>500</v>
      </c>
    </row>
    <row r="29" spans="1:14" x14ac:dyDescent="0.3">
      <c r="A29" t="s">
        <v>84</v>
      </c>
      <c r="B29">
        <v>11999999999</v>
      </c>
      <c r="C29" t="s">
        <v>79</v>
      </c>
      <c r="D29" t="s">
        <v>80</v>
      </c>
      <c r="E29" s="2">
        <v>46237</v>
      </c>
      <c r="F29" s="2">
        <v>46240</v>
      </c>
      <c r="G29" t="s">
        <v>22</v>
      </c>
      <c r="H29" t="s">
        <v>91</v>
      </c>
      <c r="I29" t="s">
        <v>102</v>
      </c>
      <c r="J29">
        <v>1450</v>
      </c>
      <c r="K29">
        <v>1800</v>
      </c>
      <c r="L29">
        <v>0</v>
      </c>
      <c r="M29">
        <f t="shared" si="0"/>
        <v>350</v>
      </c>
      <c r="N29">
        <f>(K29-J29-L29)</f>
        <v>350</v>
      </c>
    </row>
    <row r="30" spans="1:14" x14ac:dyDescent="0.3">
      <c r="A30" t="s">
        <v>87</v>
      </c>
      <c r="B30">
        <v>11999999999</v>
      </c>
      <c r="C30" t="s">
        <v>79</v>
      </c>
      <c r="D30" t="s">
        <v>80</v>
      </c>
      <c r="E30" s="2">
        <v>46244</v>
      </c>
      <c r="F30" s="2">
        <v>46263</v>
      </c>
      <c r="G30" t="s">
        <v>86</v>
      </c>
      <c r="H30" t="s">
        <v>91</v>
      </c>
      <c r="I30" t="s">
        <v>102</v>
      </c>
      <c r="J30">
        <v>600</v>
      </c>
      <c r="K30">
        <v>850</v>
      </c>
      <c r="L30">
        <v>0</v>
      </c>
      <c r="M30">
        <f t="shared" si="0"/>
        <v>250</v>
      </c>
      <c r="N30">
        <f>(K30-J30-L30)</f>
        <v>250</v>
      </c>
    </row>
    <row r="31" spans="1:14" x14ac:dyDescent="0.3">
      <c r="A31" t="s">
        <v>87</v>
      </c>
      <c r="B31">
        <v>11999999999</v>
      </c>
      <c r="C31" t="s">
        <v>79</v>
      </c>
      <c r="D31" t="s">
        <v>80</v>
      </c>
      <c r="E31" s="2">
        <v>46253</v>
      </c>
      <c r="F31" s="2">
        <v>46256</v>
      </c>
      <c r="G31" t="s">
        <v>88</v>
      </c>
      <c r="H31" t="s">
        <v>91</v>
      </c>
      <c r="I31" t="s">
        <v>102</v>
      </c>
      <c r="J31">
        <v>650</v>
      </c>
      <c r="K31">
        <v>950</v>
      </c>
      <c r="L31">
        <v>0</v>
      </c>
      <c r="M31">
        <f t="shared" si="0"/>
        <v>300</v>
      </c>
      <c r="N31">
        <f>(K31-J31-L31)</f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Santos</dc:creator>
  <cp:lastModifiedBy>Daniel Santos</cp:lastModifiedBy>
  <dcterms:created xsi:type="dcterms:W3CDTF">2026-08-28T13:59:36Z</dcterms:created>
  <dcterms:modified xsi:type="dcterms:W3CDTF">2026-09-01T19:49:20Z</dcterms:modified>
</cp:coreProperties>
</file>